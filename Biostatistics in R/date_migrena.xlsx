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area\Desktop\UVT\biostat si R\proiect\"/>
    </mc:Choice>
  </mc:AlternateContent>
  <xr:revisionPtr revIDLastSave="0" documentId="13_ncr:1_{4F500FFC-B9FB-49C0-ACCC-D2A7358F8128}" xr6:coauthVersionLast="47" xr6:coauthVersionMax="47" xr10:uidLastSave="{00000000-0000-0000-0000-000000000000}"/>
  <bookViews>
    <workbookView xWindow="3950" yWindow="0" windowWidth="14580" windowHeight="10070" activeTab="1" xr2:uid="{E41B1042-0081-41F3-92C9-9AAE33E26D7C}"/>
  </bookViews>
  <sheets>
    <sheet name="Sheet1" sheetId="1" r:id="rId1"/>
    <sheet name="meta" sheetId="2" r:id="rId2"/>
    <sheet name="~aura" sheetId="5" r:id="rId3"/>
  </sheets>
  <definedNames>
    <definedName name="_xlnm._FilterDatabase" localSheetId="0" hidden="1">Sheet1!$B$2:$I$31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5" l="1"/>
  <c r="P17" i="5"/>
  <c r="Q17" i="5"/>
  <c r="N17" i="5"/>
  <c r="F17" i="5"/>
  <c r="G17" i="5"/>
  <c r="H17" i="5"/>
  <c r="E17" i="5"/>
  <c r="O16" i="5"/>
  <c r="P16" i="5"/>
  <c r="Q16" i="5"/>
  <c r="N16" i="5"/>
  <c r="F16" i="5"/>
  <c r="G16" i="5"/>
  <c r="H16" i="5"/>
  <c r="E16" i="5"/>
</calcChain>
</file>

<file path=xl/sharedStrings.xml><?xml version="1.0" encoding="utf-8"?>
<sst xmlns="http://schemas.openxmlformats.org/spreadsheetml/2006/main" count="44" uniqueCount="32">
  <si>
    <t>.</t>
  </si>
  <si>
    <t>patient ID</t>
  </si>
  <si>
    <t>Age</t>
  </si>
  <si>
    <t>Gender</t>
  </si>
  <si>
    <t>Aura Status</t>
  </si>
  <si>
    <t>Pre-Tx freq/m</t>
  </si>
  <si>
    <t>Post-Tx freq/m</t>
  </si>
  <si>
    <t>Pre-Tx intensity/m</t>
  </si>
  <si>
    <t>Post-Tx intensity/m</t>
  </si>
  <si>
    <t>Dataset:  botoxmig.dat</t>
  </si>
  <si>
    <t>Source: R.A. Behmand, T. Tucker, and B. Guyuron (2003). "Single-Site</t>
  </si>
  <si>
    <t>Botulinum Toxin Type A Injection for Elimination of Migraine Trigger</t>
  </si>
  <si>
    <t>Points", Headache, Vol. 43: 1085-1089.</t>
  </si>
  <si>
    <t>Description: Patient Demographics and Pre- and Post- Treatment</t>
  </si>
  <si>
    <t>Results for Botoxin in Patients Suffering Migraines.</t>
  </si>
  <si>
    <t>Variables/Columns</t>
  </si>
  <si>
    <t>Patient ID   7-8</t>
  </si>
  <si>
    <t>Age  15-16</t>
  </si>
  <si>
    <t>Gender  24   /* 1=Female, 2=Male */</t>
  </si>
  <si>
    <t>Aura/Nonaura Status   32   /*  1=A, 2=N, 3=A/N  */</t>
  </si>
  <si>
    <t>Pre-Tx Headache Freq per Month  39-40</t>
  </si>
  <si>
    <t>Pre-Tx Headache Intensity per month  47-48  /* 0-10 scale  */</t>
  </si>
  <si>
    <t>Post-Tx Headache Freq per month    55-56</t>
  </si>
  <si>
    <t>Post-Tx Headache Intensity per month   63  /*  0-10 scale  */</t>
  </si>
  <si>
    <t>http://users.stat.ufl.edu/~winner/data/botoxmig.dat</t>
  </si>
  <si>
    <t>https://ohsu.pure.elsevier.com/en/publications/single-site-botulinum-toxin-type-a-injection-for-elimination-of-m-2</t>
  </si>
  <si>
    <t>pre-freq</t>
  </si>
  <si>
    <t>pre-intens</t>
  </si>
  <si>
    <t>post_freq</t>
  </si>
  <si>
    <t>post_intens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</si>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</sst>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ohsu.pure.elsevier.com/en/publications/single-site-botulinum-toxin-type-a-injection-for-elimination-of-m-2" TargetMode="External"/><Relationship Id="rId1" Type="http://schemas.openxmlformats.org/officeDocument/2006/relationships/hyperlink" Target="http://users.stat.ufl.edu/~winner/data/botoxmig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07BE-7E84-45D5-880D-79F08DDAE436}">
  <dimension ref="B2:I31"/>
  <sheetViews>
    <sheetView workbookViewId="0">
      <selection activeCell="F9" sqref="F9"/>
    </sheetView>
  </sheetViews>
  <sheetFormatPr defaultRowHeight="14.5"/>
  <cols>
    <col min="6" max="6" width="12" customWidth="1"/>
    <col min="7" max="7" width="13" customWidth="1"/>
    <col min="8" max="8" width="11.81640625" customWidth="1"/>
  </cols>
  <sheetData>
    <row r="2" spans="2:9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6</v>
      </c>
      <c r="I2" t="s">
        <v>8</v>
      </c>
    </row>
    <row r="3" spans="2:9">
      <c r="B3">
        <v>1</v>
      </c>
      <c r="C3">
        <v>47</v>
      </c>
      <c r="D3">
        <v>1</v>
      </c>
      <c r="E3">
        <v>1</v>
      </c>
      <c r="F3">
        <v>6</v>
      </c>
      <c r="G3">
        <v>9</v>
      </c>
      <c r="H3">
        <v>2</v>
      </c>
      <c r="I3">
        <v>8</v>
      </c>
    </row>
    <row r="4" spans="2:9">
      <c r="B4">
        <v>2</v>
      </c>
      <c r="C4">
        <v>40</v>
      </c>
      <c r="D4">
        <v>1</v>
      </c>
      <c r="E4">
        <v>3</v>
      </c>
      <c r="F4">
        <v>8</v>
      </c>
      <c r="G4">
        <v>9</v>
      </c>
      <c r="H4">
        <v>0</v>
      </c>
      <c r="I4">
        <v>0</v>
      </c>
    </row>
    <row r="5" spans="2:9">
      <c r="B5">
        <v>3</v>
      </c>
      <c r="C5">
        <v>49</v>
      </c>
      <c r="D5">
        <v>2</v>
      </c>
      <c r="E5">
        <v>2</v>
      </c>
      <c r="F5">
        <v>8</v>
      </c>
      <c r="G5">
        <v>9</v>
      </c>
      <c r="H5">
        <v>2</v>
      </c>
      <c r="I5">
        <v>6</v>
      </c>
    </row>
    <row r="6" spans="2:9">
      <c r="B6">
        <v>4</v>
      </c>
      <c r="C6">
        <v>40</v>
      </c>
      <c r="D6">
        <v>1</v>
      </c>
      <c r="E6">
        <v>1</v>
      </c>
      <c r="F6">
        <v>3</v>
      </c>
      <c r="G6">
        <v>10</v>
      </c>
      <c r="H6">
        <v>0</v>
      </c>
      <c r="I6">
        <v>0</v>
      </c>
    </row>
    <row r="7" spans="2:9">
      <c r="B7">
        <v>5</v>
      </c>
      <c r="C7">
        <v>42</v>
      </c>
      <c r="D7">
        <v>1</v>
      </c>
      <c r="E7">
        <v>2</v>
      </c>
      <c r="F7">
        <v>4</v>
      </c>
      <c r="G7">
        <v>9</v>
      </c>
      <c r="H7">
        <v>0</v>
      </c>
      <c r="I7">
        <v>0</v>
      </c>
    </row>
    <row r="8" spans="2:9">
      <c r="B8">
        <v>6</v>
      </c>
      <c r="C8">
        <v>35</v>
      </c>
      <c r="D8">
        <v>1</v>
      </c>
      <c r="E8">
        <v>2</v>
      </c>
      <c r="F8">
        <v>8</v>
      </c>
      <c r="G8">
        <v>9</v>
      </c>
      <c r="H8">
        <v>12</v>
      </c>
      <c r="I8">
        <v>7</v>
      </c>
    </row>
    <row r="9" spans="2:9">
      <c r="B9">
        <v>7</v>
      </c>
      <c r="C9">
        <v>38</v>
      </c>
      <c r="D9">
        <v>1</v>
      </c>
      <c r="E9">
        <v>1</v>
      </c>
      <c r="F9" t="s">
        <v>0</v>
      </c>
      <c r="G9">
        <v>10</v>
      </c>
      <c r="H9">
        <v>2</v>
      </c>
      <c r="I9">
        <v>9</v>
      </c>
    </row>
    <row r="10" spans="2:9">
      <c r="B10">
        <v>8</v>
      </c>
      <c r="C10">
        <v>44</v>
      </c>
      <c r="D10">
        <v>2</v>
      </c>
      <c r="E10">
        <v>1</v>
      </c>
      <c r="F10">
        <v>4</v>
      </c>
      <c r="G10">
        <v>10</v>
      </c>
      <c r="H10">
        <v>0</v>
      </c>
      <c r="I10">
        <v>0</v>
      </c>
    </row>
    <row r="11" spans="2:9">
      <c r="B11">
        <v>9</v>
      </c>
      <c r="C11">
        <v>47</v>
      </c>
      <c r="D11">
        <v>2</v>
      </c>
      <c r="E11">
        <v>1</v>
      </c>
      <c r="F11">
        <v>5</v>
      </c>
      <c r="G11">
        <v>8</v>
      </c>
      <c r="H11">
        <v>2</v>
      </c>
      <c r="I11">
        <v>7</v>
      </c>
    </row>
    <row r="12" spans="2:9">
      <c r="B12">
        <v>10</v>
      </c>
      <c r="C12">
        <v>53</v>
      </c>
      <c r="D12">
        <v>1</v>
      </c>
      <c r="E12">
        <v>1</v>
      </c>
      <c r="F12">
        <v>3</v>
      </c>
      <c r="G12">
        <v>10</v>
      </c>
      <c r="H12">
        <v>0</v>
      </c>
      <c r="I12">
        <v>0</v>
      </c>
    </row>
    <row r="13" spans="2:9">
      <c r="B13">
        <v>11</v>
      </c>
      <c r="C13">
        <v>41</v>
      </c>
      <c r="D13">
        <v>1</v>
      </c>
      <c r="E13">
        <v>2</v>
      </c>
      <c r="F13">
        <v>6</v>
      </c>
      <c r="G13">
        <v>7</v>
      </c>
      <c r="H13">
        <v>0</v>
      </c>
      <c r="I13">
        <v>0</v>
      </c>
    </row>
    <row r="14" spans="2:9">
      <c r="B14">
        <v>12</v>
      </c>
      <c r="C14">
        <v>49</v>
      </c>
      <c r="D14">
        <v>1</v>
      </c>
      <c r="E14">
        <v>1</v>
      </c>
      <c r="F14">
        <v>6</v>
      </c>
      <c r="G14">
        <v>8</v>
      </c>
      <c r="H14">
        <v>0</v>
      </c>
      <c r="I14">
        <v>0</v>
      </c>
    </row>
    <row r="15" spans="2:9">
      <c r="B15">
        <v>13</v>
      </c>
      <c r="C15">
        <v>48</v>
      </c>
      <c r="D15">
        <v>1</v>
      </c>
      <c r="E15">
        <v>1</v>
      </c>
      <c r="F15">
        <v>4</v>
      </c>
      <c r="G15">
        <v>8</v>
      </c>
      <c r="H15">
        <v>0</v>
      </c>
      <c r="I15">
        <v>0</v>
      </c>
    </row>
    <row r="16" spans="2:9">
      <c r="B16">
        <v>14</v>
      </c>
      <c r="C16">
        <v>63</v>
      </c>
      <c r="D16">
        <v>2</v>
      </c>
      <c r="E16">
        <v>2</v>
      </c>
      <c r="F16">
        <v>6</v>
      </c>
      <c r="G16">
        <v>9</v>
      </c>
      <c r="H16">
        <v>15</v>
      </c>
      <c r="I16">
        <v>9</v>
      </c>
    </row>
    <row r="17" spans="2:9">
      <c r="B17">
        <v>15</v>
      </c>
      <c r="C17">
        <v>58</v>
      </c>
      <c r="D17">
        <v>2</v>
      </c>
      <c r="E17">
        <v>2</v>
      </c>
      <c r="F17">
        <v>9</v>
      </c>
      <c r="G17">
        <v>7</v>
      </c>
      <c r="H17">
        <v>2</v>
      </c>
      <c r="I17">
        <v>8</v>
      </c>
    </row>
    <row r="18" spans="2:9">
      <c r="B18">
        <v>16</v>
      </c>
      <c r="C18">
        <v>53</v>
      </c>
      <c r="D18">
        <v>1</v>
      </c>
      <c r="E18">
        <v>1</v>
      </c>
      <c r="F18">
        <v>3</v>
      </c>
      <c r="G18">
        <v>9</v>
      </c>
      <c r="H18">
        <v>0</v>
      </c>
      <c r="I18">
        <v>0</v>
      </c>
    </row>
    <row r="19" spans="2:9">
      <c r="B19">
        <v>17</v>
      </c>
      <c r="C19">
        <v>47</v>
      </c>
      <c r="D19">
        <v>1</v>
      </c>
      <c r="E19">
        <v>2</v>
      </c>
      <c r="F19">
        <v>4</v>
      </c>
      <c r="G19">
        <v>8</v>
      </c>
      <c r="H19">
        <v>1</v>
      </c>
      <c r="I19">
        <v>4</v>
      </c>
    </row>
    <row r="20" spans="2:9">
      <c r="B20">
        <v>18</v>
      </c>
      <c r="C20">
        <v>34</v>
      </c>
      <c r="D20">
        <v>1</v>
      </c>
      <c r="E20">
        <v>1</v>
      </c>
      <c r="F20">
        <v>5</v>
      </c>
      <c r="G20">
        <v>9</v>
      </c>
      <c r="H20">
        <v>0</v>
      </c>
      <c r="I20">
        <v>0</v>
      </c>
    </row>
    <row r="21" spans="2:9">
      <c r="B21">
        <v>19</v>
      </c>
      <c r="C21">
        <v>53</v>
      </c>
      <c r="D21">
        <v>1</v>
      </c>
      <c r="E21">
        <v>2</v>
      </c>
      <c r="F21">
        <v>4</v>
      </c>
      <c r="G21">
        <v>9</v>
      </c>
      <c r="H21">
        <v>5</v>
      </c>
      <c r="I21">
        <v>7</v>
      </c>
    </row>
    <row r="22" spans="2:9">
      <c r="B22">
        <v>20</v>
      </c>
      <c r="C22">
        <v>45</v>
      </c>
      <c r="D22">
        <v>1</v>
      </c>
      <c r="E22">
        <v>2</v>
      </c>
      <c r="F22">
        <v>5</v>
      </c>
      <c r="G22">
        <v>8</v>
      </c>
      <c r="H22">
        <v>5</v>
      </c>
      <c r="I22">
        <v>4</v>
      </c>
    </row>
    <row r="23" spans="2:9">
      <c r="B23">
        <v>21</v>
      </c>
      <c r="C23">
        <v>30</v>
      </c>
      <c r="D23">
        <v>1</v>
      </c>
      <c r="E23">
        <v>1</v>
      </c>
      <c r="F23">
        <v>3</v>
      </c>
      <c r="G23">
        <v>8</v>
      </c>
      <c r="H23">
        <v>0</v>
      </c>
      <c r="I23">
        <v>0</v>
      </c>
    </row>
    <row r="24" spans="2:9">
      <c r="B24">
        <v>22</v>
      </c>
      <c r="C24">
        <v>29</v>
      </c>
      <c r="D24">
        <v>1</v>
      </c>
      <c r="E24">
        <v>1</v>
      </c>
      <c r="F24">
        <v>5</v>
      </c>
      <c r="G24">
        <v>9</v>
      </c>
      <c r="H24">
        <v>0</v>
      </c>
      <c r="I24">
        <v>0</v>
      </c>
    </row>
    <row r="25" spans="2:9">
      <c r="B25">
        <v>23</v>
      </c>
      <c r="C25">
        <v>49</v>
      </c>
      <c r="D25">
        <v>1</v>
      </c>
      <c r="E25">
        <v>2</v>
      </c>
      <c r="F25">
        <v>9</v>
      </c>
      <c r="G25">
        <v>10</v>
      </c>
      <c r="H25">
        <v>0</v>
      </c>
      <c r="I25">
        <v>0</v>
      </c>
    </row>
    <row r="26" spans="2:9">
      <c r="B26">
        <v>24</v>
      </c>
      <c r="C26">
        <v>24</v>
      </c>
      <c r="D26">
        <v>1</v>
      </c>
      <c r="E26">
        <v>1</v>
      </c>
      <c r="F26">
        <v>5</v>
      </c>
      <c r="G26">
        <v>9</v>
      </c>
      <c r="H26">
        <v>0</v>
      </c>
      <c r="I26">
        <v>0</v>
      </c>
    </row>
    <row r="27" spans="2:9">
      <c r="B27">
        <v>25</v>
      </c>
      <c r="C27">
        <v>63</v>
      </c>
      <c r="D27">
        <v>1</v>
      </c>
      <c r="E27">
        <v>2</v>
      </c>
      <c r="F27">
        <v>19</v>
      </c>
      <c r="G27">
        <v>7</v>
      </c>
      <c r="H27">
        <v>10</v>
      </c>
      <c r="I27">
        <v>7</v>
      </c>
    </row>
    <row r="28" spans="2:9">
      <c r="B28">
        <v>26</v>
      </c>
      <c r="C28">
        <v>62</v>
      </c>
      <c r="D28">
        <v>1</v>
      </c>
      <c r="E28">
        <v>1</v>
      </c>
      <c r="F28">
        <v>8</v>
      </c>
      <c r="G28">
        <v>9</v>
      </c>
      <c r="H28">
        <v>11</v>
      </c>
      <c r="I28">
        <v>9</v>
      </c>
    </row>
    <row r="29" spans="2:9">
      <c r="B29">
        <v>27</v>
      </c>
      <c r="C29">
        <v>44</v>
      </c>
      <c r="D29">
        <v>1</v>
      </c>
      <c r="E29">
        <v>1</v>
      </c>
      <c r="F29">
        <v>3</v>
      </c>
      <c r="G29">
        <v>10</v>
      </c>
      <c r="H29">
        <v>0</v>
      </c>
      <c r="I29">
        <v>0</v>
      </c>
    </row>
    <row r="30" spans="2:9">
      <c r="B30">
        <v>28</v>
      </c>
      <c r="C30">
        <v>38</v>
      </c>
      <c r="D30">
        <v>1</v>
      </c>
      <c r="E30">
        <v>2</v>
      </c>
      <c r="F30">
        <v>8</v>
      </c>
      <c r="G30">
        <v>10</v>
      </c>
      <c r="H30">
        <v>1</v>
      </c>
      <c r="I30">
        <v>3</v>
      </c>
    </row>
    <row r="31" spans="2:9">
      <c r="B31">
        <v>29</v>
      </c>
      <c r="C31">
        <v>38</v>
      </c>
      <c r="D31">
        <v>1</v>
      </c>
      <c r="E31">
        <v>2</v>
      </c>
      <c r="F31">
        <v>3</v>
      </c>
      <c r="G31">
        <v>10</v>
      </c>
      <c r="H31">
        <v>0</v>
      </c>
      <c r="I3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F840-1889-439E-8F66-9286C57D3C66}">
  <dimension ref="A1:H19"/>
  <sheetViews>
    <sheetView tabSelected="1" topLeftCell="A4" workbookViewId="0">
      <selection activeCell="A15" sqref="A15"/>
    </sheetView>
  </sheetViews>
  <sheetFormatPr defaultRowHeight="14.5"/>
  <sheetData>
    <row r="1" spans="1:8">
      <c r="A1" s="2" t="s">
        <v>9</v>
      </c>
      <c r="H1" s="3" t="s">
        <v>24</v>
      </c>
    </row>
    <row r="2" spans="1:8">
      <c r="A2" s="1"/>
      <c r="H2" s="3" t="s">
        <v>25</v>
      </c>
    </row>
    <row r="3" spans="1:8">
      <c r="A3" s="2" t="s">
        <v>10</v>
      </c>
    </row>
    <row r="4" spans="1:8">
      <c r="A4" s="2" t="s">
        <v>11</v>
      </c>
    </row>
    <row r="5" spans="1:8">
      <c r="A5" s="2" t="s">
        <v>12</v>
      </c>
    </row>
    <row r="6" spans="1:8">
      <c r="A6" s="1"/>
    </row>
    <row r="7" spans="1:8">
      <c r="A7" s="2" t="s">
        <v>13</v>
      </c>
    </row>
    <row r="8" spans="1:8">
      <c r="A8" s="2" t="s">
        <v>14</v>
      </c>
    </row>
    <row r="9" spans="1:8">
      <c r="A9" s="1"/>
    </row>
    <row r="10" spans="1:8">
      <c r="A10" s="2" t="s">
        <v>15</v>
      </c>
    </row>
    <row r="11" spans="1:8">
      <c r="A11" s="1"/>
    </row>
    <row r="12" spans="1:8">
      <c r="A12" s="2" t="s">
        <v>16</v>
      </c>
    </row>
    <row r="13" spans="1:8">
      <c r="A13" s="2" t="s">
        <v>17</v>
      </c>
    </row>
    <row r="14" spans="1:8">
      <c r="A14" s="2" t="s">
        <v>18</v>
      </c>
    </row>
    <row r="15" spans="1:8">
      <c r="A15" s="2" t="s">
        <v>19</v>
      </c>
    </row>
    <row r="16" spans="1:8">
      <c r="A16" s="2" t="s">
        <v>20</v>
      </c>
    </row>
    <row r="17" spans="1:1">
      <c r="A17" s="2" t="s">
        <v>21</v>
      </c>
    </row>
    <row r="18" spans="1:1">
      <c r="A18" s="2" t="s">
        <v>22</v>
      </c>
    </row>
    <row r="19" spans="1:1">
      <c r="A19" s="2" t="s">
        <v>23</v>
      </c>
    </row>
  </sheetData>
  <hyperlinks>
    <hyperlink ref="H1" r:id="rId1" xr:uid="{60941B3C-B9DF-4453-AD40-EC9147DEC7C8}"/>
    <hyperlink ref="H2" r:id="rId2" xr:uid="{C8644CC2-3053-48BD-8C8F-7F9EEDE1F8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289C-5A2A-4965-8B88-025EEFCEE523}">
  <dimension ref="A1:Q17"/>
  <sheetViews>
    <sheetView topLeftCell="D1" workbookViewId="0">
      <selection activeCell="N2" sqref="N2:N14"/>
    </sheetView>
  </sheetViews>
  <sheetFormatPr defaultRowHeight="14.5"/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26</v>
      </c>
      <c r="F1" t="s">
        <v>28</v>
      </c>
      <c r="G1" t="s">
        <v>27</v>
      </c>
      <c r="H1" t="s">
        <v>29</v>
      </c>
      <c r="J1" t="s">
        <v>1</v>
      </c>
      <c r="K1" t="s">
        <v>2</v>
      </c>
      <c r="L1" t="s">
        <v>3</v>
      </c>
      <c r="M1" t="s">
        <v>4</v>
      </c>
      <c r="N1" t="s">
        <v>26</v>
      </c>
      <c r="O1" t="s">
        <v>28</v>
      </c>
      <c r="P1" t="s">
        <v>27</v>
      </c>
      <c r="Q1" t="s">
        <v>29</v>
      </c>
    </row>
    <row r="2" spans="1:17">
      <c r="A2">
        <v>1</v>
      </c>
      <c r="B2">
        <v>47</v>
      </c>
      <c r="C2">
        <v>1</v>
      </c>
      <c r="D2">
        <v>1</v>
      </c>
      <c r="E2">
        <v>6</v>
      </c>
      <c r="F2">
        <v>2</v>
      </c>
      <c r="G2">
        <v>9</v>
      </c>
      <c r="H2">
        <v>8</v>
      </c>
      <c r="J2">
        <v>3</v>
      </c>
      <c r="K2">
        <v>49</v>
      </c>
      <c r="L2">
        <v>2</v>
      </c>
      <c r="M2">
        <v>2</v>
      </c>
      <c r="N2">
        <v>8</v>
      </c>
      <c r="O2">
        <v>2</v>
      </c>
      <c r="P2">
        <v>9</v>
      </c>
      <c r="Q2">
        <v>6</v>
      </c>
    </row>
    <row r="3" spans="1:17">
      <c r="A3">
        <v>4</v>
      </c>
      <c r="B3">
        <v>40</v>
      </c>
      <c r="C3">
        <v>1</v>
      </c>
      <c r="D3">
        <v>1</v>
      </c>
      <c r="E3">
        <v>3</v>
      </c>
      <c r="F3">
        <v>0</v>
      </c>
      <c r="G3">
        <v>10</v>
      </c>
      <c r="H3">
        <v>0</v>
      </c>
      <c r="J3">
        <v>5</v>
      </c>
      <c r="K3">
        <v>42</v>
      </c>
      <c r="L3">
        <v>1</v>
      </c>
      <c r="M3">
        <v>2</v>
      </c>
      <c r="N3">
        <v>4</v>
      </c>
      <c r="O3">
        <v>0</v>
      </c>
      <c r="P3">
        <v>9</v>
      </c>
      <c r="Q3">
        <v>0</v>
      </c>
    </row>
    <row r="4" spans="1:17">
      <c r="A4">
        <v>8</v>
      </c>
      <c r="B4">
        <v>44</v>
      </c>
      <c r="C4">
        <v>2</v>
      </c>
      <c r="D4">
        <v>1</v>
      </c>
      <c r="E4">
        <v>4</v>
      </c>
      <c r="F4">
        <v>0</v>
      </c>
      <c r="G4">
        <v>10</v>
      </c>
      <c r="H4">
        <v>0</v>
      </c>
      <c r="J4">
        <v>6</v>
      </c>
      <c r="K4">
        <v>35</v>
      </c>
      <c r="L4">
        <v>1</v>
      </c>
      <c r="M4">
        <v>2</v>
      </c>
      <c r="N4">
        <v>8</v>
      </c>
      <c r="O4">
        <v>12</v>
      </c>
      <c r="P4">
        <v>9</v>
      </c>
      <c r="Q4">
        <v>7</v>
      </c>
    </row>
    <row r="5" spans="1:17">
      <c r="A5">
        <v>9</v>
      </c>
      <c r="B5">
        <v>47</v>
      </c>
      <c r="C5">
        <v>2</v>
      </c>
      <c r="D5">
        <v>1</v>
      </c>
      <c r="E5">
        <v>5</v>
      </c>
      <c r="F5">
        <v>2</v>
      </c>
      <c r="G5">
        <v>8</v>
      </c>
      <c r="H5">
        <v>7</v>
      </c>
      <c r="J5">
        <v>11</v>
      </c>
      <c r="K5">
        <v>41</v>
      </c>
      <c r="L5">
        <v>1</v>
      </c>
      <c r="M5">
        <v>2</v>
      </c>
      <c r="N5">
        <v>6</v>
      </c>
      <c r="O5">
        <v>0</v>
      </c>
      <c r="P5">
        <v>7</v>
      </c>
      <c r="Q5">
        <v>0</v>
      </c>
    </row>
    <row r="6" spans="1:17">
      <c r="A6">
        <v>10</v>
      </c>
      <c r="B6">
        <v>53</v>
      </c>
      <c r="C6">
        <v>1</v>
      </c>
      <c r="D6">
        <v>1</v>
      </c>
      <c r="E6">
        <v>3</v>
      </c>
      <c r="F6">
        <v>0</v>
      </c>
      <c r="G6">
        <v>10</v>
      </c>
      <c r="H6">
        <v>0</v>
      </c>
      <c r="J6">
        <v>14</v>
      </c>
      <c r="K6">
        <v>63</v>
      </c>
      <c r="L6">
        <v>2</v>
      </c>
      <c r="M6">
        <v>2</v>
      </c>
      <c r="N6">
        <v>6</v>
      </c>
      <c r="O6">
        <v>15</v>
      </c>
      <c r="P6">
        <v>9</v>
      </c>
      <c r="Q6">
        <v>9</v>
      </c>
    </row>
    <row r="7" spans="1:17">
      <c r="A7">
        <v>12</v>
      </c>
      <c r="B7">
        <v>49</v>
      </c>
      <c r="C7">
        <v>1</v>
      </c>
      <c r="D7">
        <v>1</v>
      </c>
      <c r="E7">
        <v>6</v>
      </c>
      <c r="F7">
        <v>0</v>
      </c>
      <c r="G7">
        <v>8</v>
      </c>
      <c r="H7">
        <v>0</v>
      </c>
      <c r="J7">
        <v>15</v>
      </c>
      <c r="K7">
        <v>58</v>
      </c>
      <c r="L7">
        <v>2</v>
      </c>
      <c r="M7">
        <v>2</v>
      </c>
      <c r="N7">
        <v>9</v>
      </c>
      <c r="O7">
        <v>2</v>
      </c>
      <c r="P7">
        <v>7</v>
      </c>
      <c r="Q7">
        <v>8</v>
      </c>
    </row>
    <row r="8" spans="1:17">
      <c r="A8">
        <v>13</v>
      </c>
      <c r="B8">
        <v>48</v>
      </c>
      <c r="C8">
        <v>1</v>
      </c>
      <c r="D8">
        <v>1</v>
      </c>
      <c r="E8">
        <v>4</v>
      </c>
      <c r="F8">
        <v>0</v>
      </c>
      <c r="G8">
        <v>8</v>
      </c>
      <c r="H8">
        <v>0</v>
      </c>
      <c r="J8">
        <v>17</v>
      </c>
      <c r="K8">
        <v>47</v>
      </c>
      <c r="L8">
        <v>1</v>
      </c>
      <c r="M8">
        <v>2</v>
      </c>
      <c r="N8">
        <v>4</v>
      </c>
      <c r="O8">
        <v>1</v>
      </c>
      <c r="P8">
        <v>8</v>
      </c>
      <c r="Q8">
        <v>4</v>
      </c>
    </row>
    <row r="9" spans="1:17">
      <c r="A9">
        <v>16</v>
      </c>
      <c r="B9">
        <v>53</v>
      </c>
      <c r="C9">
        <v>1</v>
      </c>
      <c r="D9">
        <v>1</v>
      </c>
      <c r="E9">
        <v>3</v>
      </c>
      <c r="F9">
        <v>0</v>
      </c>
      <c r="G9">
        <v>9</v>
      </c>
      <c r="H9">
        <v>0</v>
      </c>
      <c r="J9">
        <v>19</v>
      </c>
      <c r="K9">
        <v>53</v>
      </c>
      <c r="L9">
        <v>1</v>
      </c>
      <c r="M9">
        <v>2</v>
      </c>
      <c r="N9">
        <v>4</v>
      </c>
      <c r="O9">
        <v>5</v>
      </c>
      <c r="P9">
        <v>9</v>
      </c>
      <c r="Q9">
        <v>7</v>
      </c>
    </row>
    <row r="10" spans="1:17">
      <c r="A10">
        <v>18</v>
      </c>
      <c r="B10">
        <v>34</v>
      </c>
      <c r="C10">
        <v>1</v>
      </c>
      <c r="D10">
        <v>1</v>
      </c>
      <c r="E10">
        <v>5</v>
      </c>
      <c r="F10">
        <v>0</v>
      </c>
      <c r="G10">
        <v>9</v>
      </c>
      <c r="H10">
        <v>0</v>
      </c>
      <c r="J10">
        <v>20</v>
      </c>
      <c r="K10">
        <v>45</v>
      </c>
      <c r="L10">
        <v>1</v>
      </c>
      <c r="M10">
        <v>2</v>
      </c>
      <c r="N10">
        <v>5</v>
      </c>
      <c r="O10">
        <v>5</v>
      </c>
      <c r="P10">
        <v>8</v>
      </c>
      <c r="Q10">
        <v>4</v>
      </c>
    </row>
    <row r="11" spans="1:17">
      <c r="A11">
        <v>21</v>
      </c>
      <c r="B11">
        <v>30</v>
      </c>
      <c r="C11">
        <v>1</v>
      </c>
      <c r="D11">
        <v>1</v>
      </c>
      <c r="E11">
        <v>3</v>
      </c>
      <c r="F11">
        <v>0</v>
      </c>
      <c r="G11">
        <v>8</v>
      </c>
      <c r="H11">
        <v>0</v>
      </c>
      <c r="J11">
        <v>23</v>
      </c>
      <c r="K11">
        <v>49</v>
      </c>
      <c r="L11">
        <v>1</v>
      </c>
      <c r="M11">
        <v>2</v>
      </c>
      <c r="N11">
        <v>9</v>
      </c>
      <c r="O11">
        <v>0</v>
      </c>
      <c r="P11">
        <v>10</v>
      </c>
      <c r="Q11">
        <v>0</v>
      </c>
    </row>
    <row r="12" spans="1:17">
      <c r="A12">
        <v>22</v>
      </c>
      <c r="B12">
        <v>29</v>
      </c>
      <c r="C12">
        <v>1</v>
      </c>
      <c r="D12">
        <v>1</v>
      </c>
      <c r="E12">
        <v>5</v>
      </c>
      <c r="F12">
        <v>0</v>
      </c>
      <c r="G12">
        <v>9</v>
      </c>
      <c r="H12">
        <v>0</v>
      </c>
      <c r="J12">
        <v>25</v>
      </c>
      <c r="K12">
        <v>63</v>
      </c>
      <c r="L12">
        <v>1</v>
      </c>
      <c r="M12">
        <v>2</v>
      </c>
      <c r="N12">
        <v>19</v>
      </c>
      <c r="O12">
        <v>10</v>
      </c>
      <c r="P12">
        <v>7</v>
      </c>
      <c r="Q12">
        <v>7</v>
      </c>
    </row>
    <row r="13" spans="1:17">
      <c r="A13">
        <v>24</v>
      </c>
      <c r="B13">
        <v>24</v>
      </c>
      <c r="C13">
        <v>1</v>
      </c>
      <c r="D13">
        <v>1</v>
      </c>
      <c r="E13">
        <v>5</v>
      </c>
      <c r="F13">
        <v>0</v>
      </c>
      <c r="G13">
        <v>9</v>
      </c>
      <c r="H13">
        <v>0</v>
      </c>
      <c r="J13">
        <v>28</v>
      </c>
      <c r="K13">
        <v>38</v>
      </c>
      <c r="L13">
        <v>1</v>
      </c>
      <c r="M13">
        <v>2</v>
      </c>
      <c r="N13">
        <v>8</v>
      </c>
      <c r="O13">
        <v>1</v>
      </c>
      <c r="P13">
        <v>10</v>
      </c>
      <c r="Q13">
        <v>3</v>
      </c>
    </row>
    <row r="14" spans="1:17">
      <c r="A14">
        <v>26</v>
      </c>
      <c r="B14">
        <v>62</v>
      </c>
      <c r="C14">
        <v>1</v>
      </c>
      <c r="D14">
        <v>1</v>
      </c>
      <c r="E14">
        <v>8</v>
      </c>
      <c r="F14">
        <v>11</v>
      </c>
      <c r="G14">
        <v>9</v>
      </c>
      <c r="H14">
        <v>9</v>
      </c>
      <c r="J14">
        <v>29</v>
      </c>
      <c r="K14">
        <v>38</v>
      </c>
      <c r="L14">
        <v>1</v>
      </c>
      <c r="M14">
        <v>2</v>
      </c>
      <c r="N14">
        <v>3</v>
      </c>
      <c r="O14">
        <v>0</v>
      </c>
      <c r="P14">
        <v>10</v>
      </c>
      <c r="Q14">
        <v>0</v>
      </c>
    </row>
    <row r="15" spans="1:17">
      <c r="A15">
        <v>27</v>
      </c>
      <c r="B15">
        <v>44</v>
      </c>
      <c r="C15">
        <v>1</v>
      </c>
      <c r="D15">
        <v>1</v>
      </c>
      <c r="E15">
        <v>3</v>
      </c>
      <c r="F15">
        <v>0</v>
      </c>
      <c r="G15">
        <v>10</v>
      </c>
      <c r="H15">
        <v>0</v>
      </c>
    </row>
    <row r="16" spans="1:17">
      <c r="D16" t="s">
        <v>30</v>
      </c>
      <c r="E16" s="4">
        <f>AVERAGE(E2:E15)</f>
        <v>4.5</v>
      </c>
      <c r="F16" s="4">
        <f t="shared" ref="F16:H16" si="0">AVERAGE(F2:F15)</f>
        <v>1.0714285714285714</v>
      </c>
      <c r="G16" s="4">
        <f t="shared" si="0"/>
        <v>9</v>
      </c>
      <c r="H16" s="4">
        <f t="shared" si="0"/>
        <v>1.7142857142857142</v>
      </c>
      <c r="N16" s="4">
        <f>AVERAGE(N2:N14)</f>
        <v>7.1538461538461542</v>
      </c>
      <c r="O16" s="4">
        <f t="shared" ref="O16:Q16" si="1">AVERAGE(O2:O14)</f>
        <v>4.0769230769230766</v>
      </c>
      <c r="P16" s="4">
        <f t="shared" si="1"/>
        <v>8.615384615384615</v>
      </c>
      <c r="Q16" s="4">
        <f t="shared" si="1"/>
        <v>4.2307692307692308</v>
      </c>
    </row>
    <row r="17" spans="4:17">
      <c r="D17" t="s">
        <v>31</v>
      </c>
      <c r="E17" s="4">
        <f>_xlfn.STDEV.S(E2:E15)</f>
        <v>1.5063966175050876</v>
      </c>
      <c r="F17" s="4">
        <f t="shared" ref="F17:H17" si="2">_xlfn.STDEV.S(F2:F15)</f>
        <v>2.9473400188667047</v>
      </c>
      <c r="G17" s="4">
        <f t="shared" si="2"/>
        <v>0.78446454055273618</v>
      </c>
      <c r="H17" s="4">
        <f t="shared" si="2"/>
        <v>3.4290292734594376</v>
      </c>
      <c r="N17" s="4">
        <f>_xlfn.STDEV.S(N2:N14)</f>
        <v>4.1199950211570622</v>
      </c>
      <c r="O17" s="4">
        <f t="shared" ref="O17:Q17" si="3">_xlfn.STDEV.S(O2:O14)</f>
        <v>5.106556871016231</v>
      </c>
      <c r="P17" s="4">
        <f t="shared" si="3"/>
        <v>1.1208970766356106</v>
      </c>
      <c r="Q17" s="4">
        <f t="shared" si="3"/>
        <v>3.3703077543414874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meta</vt:lpstr>
      <vt:lpstr>~aura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Floarea</dc:creator>
  <cp:lastModifiedBy>Floarea</cp:lastModifiedBy>
  <dcterms:created xsi:type="dcterms:W3CDTF">2022-01-06T15:04:32Z</dcterms:created>
  <dcterms:modified xsi:type="dcterms:W3CDTF">2022-01-21T16:52:56Z</dcterms:modified>
</cp:coreProperties>
</file>